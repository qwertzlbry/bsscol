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BSS\Administration\05_BSS_Vorlagen\Farben_R_Stata\bsscol\data\"/>
    </mc:Choice>
  </mc:AlternateContent>
  <bookViews>
    <workbookView xWindow="-120" yWindow="-120" windowWidth="21612" windowHeight="7200"/>
  </bookViews>
  <sheets>
    <sheet name="Farbspektrum" sheetId="3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" i="3" l="1"/>
  <c r="I14" i="3" s="1"/>
  <c r="G14" i="3"/>
  <c r="G13" i="3"/>
  <c r="G2" i="3"/>
  <c r="G3" i="3"/>
  <c r="G4" i="3"/>
  <c r="G5" i="3"/>
  <c r="G6" i="3"/>
  <c r="G7" i="3"/>
  <c r="G8" i="3"/>
  <c r="G9" i="3"/>
  <c r="G10" i="3"/>
  <c r="G11" i="3"/>
  <c r="G12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D13" i="3"/>
  <c r="I13" i="3" s="1"/>
  <c r="D15" i="3"/>
  <c r="I15" i="3" s="1"/>
  <c r="D16" i="3"/>
  <c r="I16" i="3" s="1"/>
  <c r="D17" i="3"/>
  <c r="I17" i="3" s="1"/>
  <c r="D18" i="3"/>
  <c r="I18" i="3" s="1"/>
  <c r="D19" i="3"/>
  <c r="I19" i="3" s="1"/>
  <c r="D20" i="3"/>
  <c r="I20" i="3" s="1"/>
  <c r="D21" i="3"/>
  <c r="I21" i="3" s="1"/>
  <c r="D22" i="3"/>
  <c r="I22" i="3" s="1"/>
  <c r="D23" i="3"/>
  <c r="I23" i="3" s="1"/>
  <c r="D24" i="3"/>
  <c r="I24" i="3" s="1"/>
  <c r="D25" i="3"/>
  <c r="I25" i="3" s="1"/>
  <c r="D26" i="3"/>
  <c r="I26" i="3" s="1"/>
  <c r="D27" i="3"/>
  <c r="I27" i="3" s="1"/>
  <c r="D28" i="3"/>
  <c r="I28" i="3" s="1"/>
  <c r="D29" i="3"/>
  <c r="I29" i="3" s="1"/>
  <c r="D30" i="3"/>
  <c r="I30" i="3" s="1"/>
  <c r="D31" i="3"/>
  <c r="I31" i="3" s="1"/>
  <c r="D32" i="3"/>
  <c r="I32" i="3" s="1"/>
  <c r="D33" i="3"/>
  <c r="I33" i="3" s="1"/>
  <c r="D34" i="3"/>
  <c r="I34" i="3" s="1"/>
  <c r="D35" i="3"/>
  <c r="I35" i="3" s="1"/>
  <c r="D36" i="3"/>
  <c r="I36" i="3" s="1"/>
  <c r="D37" i="3"/>
  <c r="I37" i="3" s="1"/>
  <c r="D38" i="3"/>
  <c r="I38" i="3" s="1"/>
  <c r="D39" i="3"/>
  <c r="I39" i="3" s="1"/>
  <c r="D40" i="3"/>
  <c r="I40" i="3" s="1"/>
  <c r="D41" i="3"/>
  <c r="I41" i="3" s="1"/>
  <c r="D42" i="3"/>
  <c r="I42" i="3" s="1"/>
  <c r="D43" i="3"/>
  <c r="I43" i="3" s="1"/>
  <c r="D44" i="3"/>
  <c r="I44" i="3" s="1"/>
  <c r="D45" i="3"/>
  <c r="I45" i="3" s="1"/>
  <c r="D46" i="3"/>
  <c r="I46" i="3" s="1"/>
  <c r="D47" i="3"/>
  <c r="I47" i="3" s="1"/>
  <c r="D48" i="3"/>
  <c r="I48" i="3" s="1"/>
  <c r="D49" i="3"/>
  <c r="I49" i="3" s="1"/>
  <c r="D50" i="3"/>
  <c r="I50" i="3" s="1"/>
  <c r="D51" i="3"/>
  <c r="I51" i="3" s="1"/>
  <c r="D52" i="3"/>
  <c r="I52" i="3" s="1"/>
  <c r="D53" i="3"/>
  <c r="I53" i="3" s="1"/>
  <c r="D54" i="3"/>
  <c r="I54" i="3" s="1"/>
  <c r="D55" i="3"/>
  <c r="I55" i="3" s="1"/>
  <c r="D56" i="3"/>
  <c r="I56" i="3" s="1"/>
  <c r="D57" i="3"/>
  <c r="I57" i="3" s="1"/>
  <c r="D58" i="3"/>
  <c r="I58" i="3" s="1"/>
  <c r="D59" i="3"/>
  <c r="I59" i="3" s="1"/>
  <c r="D60" i="3"/>
  <c r="I60" i="3" s="1"/>
  <c r="D61" i="3"/>
  <c r="I61" i="3" s="1"/>
  <c r="D12" i="3"/>
  <c r="I12" i="3" s="1"/>
  <c r="D3" i="3"/>
  <c r="I3" i="3" s="1"/>
  <c r="D4" i="3"/>
  <c r="I4" i="3" s="1"/>
  <c r="D5" i="3"/>
  <c r="I5" i="3" s="1"/>
  <c r="D6" i="3"/>
  <c r="I6" i="3" s="1"/>
  <c r="D7" i="3"/>
  <c r="I7" i="3" s="1"/>
  <c r="D8" i="3"/>
  <c r="I8" i="3" s="1"/>
  <c r="D9" i="3"/>
  <c r="I9" i="3" s="1"/>
  <c r="D10" i="3"/>
  <c r="I10" i="3" s="1"/>
  <c r="D11" i="3"/>
  <c r="I11" i="3" s="1"/>
  <c r="D2" i="3"/>
  <c r="I2" i="3" s="1"/>
</calcChain>
</file>

<file path=xl/sharedStrings.xml><?xml version="1.0" encoding="utf-8"?>
<sst xmlns="http://schemas.openxmlformats.org/spreadsheetml/2006/main" count="51" uniqueCount="42">
  <si>
    <t>R</t>
  </si>
  <si>
    <t>G</t>
  </si>
  <si>
    <t>B</t>
  </si>
  <si>
    <t>255</t>
  </si>
  <si>
    <t>0</t>
  </si>
  <si>
    <t>242</t>
  </si>
  <si>
    <t>191</t>
  </si>
  <si>
    <t>21</t>
  </si>
  <si>
    <t>95</t>
  </si>
  <si>
    <t>144</t>
  </si>
  <si>
    <t>171</t>
  </si>
  <si>
    <t>228</t>
  </si>
  <si>
    <t>65</t>
  </si>
  <si>
    <t>229</t>
  </si>
  <si>
    <t>35</t>
  </si>
  <si>
    <t>61</t>
  </si>
  <si>
    <t>238</t>
  </si>
  <si>
    <t>236</t>
  </si>
  <si>
    <t>34</t>
  </si>
  <si>
    <t>107</t>
  </si>
  <si>
    <t>197</t>
  </si>
  <si>
    <t>237</t>
  </si>
  <si>
    <t>246</t>
  </si>
  <si>
    <t>249</t>
  </si>
  <si>
    <t>Typ</t>
  </si>
  <si>
    <t>Full</t>
  </si>
  <si>
    <t>col_pal</t>
  </si>
  <si>
    <t>hashed_hex</t>
  </si>
  <si>
    <t>colour</t>
  </si>
  <si>
    <t>hex</t>
  </si>
  <si>
    <t>excel_form</t>
  </si>
  <si>
    <t>schwarz</t>
  </si>
  <si>
    <t>name</t>
  </si>
  <si>
    <t>grau</t>
  </si>
  <si>
    <t>blau</t>
  </si>
  <si>
    <t>grün</t>
  </si>
  <si>
    <t>rot</t>
  </si>
  <si>
    <t>gelb</t>
  </si>
  <si>
    <t>hellblau</t>
  </si>
  <si>
    <t>weiss</t>
  </si>
  <si>
    <t>hellgrau2</t>
  </si>
  <si>
    <t>hellgrau1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</si>
</sst>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\ &quot;€&quot;_-;\-* #,##0\ &quot;€&quot;_-;_-* &quot;-&quot;\ &quot;€&quot;_-;_-@_-"/>
    <numFmt numFmtId="165" formatCode="_-* #,##0.00\ _€_-;\-* #,##0.00\ _€_-;_-* &quot;-&quot;??\ _€_-;_-@_-"/>
    <numFmt numFmtId="166" formatCode="_-* #,##0.00;\-* #,##0.00;_-* &quot;-&quot;??;_-@_-"/>
    <numFmt numFmtId="167" formatCode="&quot;CHF&quot;* #,##0.00"/>
  </numFmts>
  <fonts count="23" x14ac:knownFonts="1">
    <font>
      <sz val="10.5"/>
      <color theme="1"/>
      <name val="Arial"/>
      <family val="2"/>
      <scheme val="minor"/>
    </font>
    <font>
      <sz val="10.5"/>
      <color theme="1"/>
      <name val="Arial"/>
      <family val="2"/>
    </font>
    <font>
      <sz val="18"/>
      <color theme="3"/>
      <name val="Arial"/>
      <family val="2"/>
      <scheme val="major"/>
    </font>
    <font>
      <sz val="10.5"/>
      <color theme="1"/>
      <name val="Arial"/>
      <family val="2"/>
      <scheme val="minor"/>
    </font>
    <font>
      <sz val="10.5"/>
      <color rgb="FF006100"/>
      <name val="Arial"/>
      <family val="2"/>
      <scheme val="minor"/>
    </font>
    <font>
      <sz val="10.5"/>
      <color rgb="FF9C6500"/>
      <name val="Arial"/>
      <family val="2"/>
      <scheme val="minor"/>
    </font>
    <font>
      <sz val="10.5"/>
      <color rgb="FF9C0006"/>
      <name val="Arial"/>
      <family val="2"/>
      <scheme val="minor"/>
    </font>
    <font>
      <b/>
      <sz val="10.5"/>
      <color rgb="FF3F3F3F"/>
      <name val="Arial"/>
      <family val="2"/>
      <scheme val="major"/>
    </font>
    <font>
      <b/>
      <sz val="10.5"/>
      <color rgb="FFFA7D00"/>
      <name val="Arial"/>
      <family val="2"/>
      <scheme val="major"/>
    </font>
    <font>
      <i/>
      <sz val="10.5"/>
      <color rgb="FF7F7F7F"/>
      <name val="Arial"/>
      <family val="2"/>
      <scheme val="minor"/>
    </font>
    <font>
      <sz val="10.5"/>
      <color rgb="FFFA7D00"/>
      <name val="Arial"/>
      <family val="2"/>
      <scheme val="minor"/>
    </font>
    <font>
      <sz val="10.5"/>
      <color rgb="FFFF0000"/>
      <name val="Arial"/>
      <family val="2"/>
      <scheme val="minor"/>
    </font>
    <font>
      <b/>
      <sz val="10.5"/>
      <color theme="0"/>
      <name val="Arial"/>
      <family val="2"/>
      <scheme val="minor"/>
    </font>
    <font>
      <b/>
      <sz val="10.5"/>
      <color theme="1"/>
      <name val="Arial"/>
      <family val="2"/>
      <scheme val="minor"/>
    </font>
    <font>
      <b/>
      <sz val="15"/>
      <color theme="1"/>
      <name val="Arial"/>
      <family val="2"/>
      <scheme val="major"/>
    </font>
    <font>
      <b/>
      <sz val="13"/>
      <name val="Arial"/>
      <family val="2"/>
      <scheme val="major"/>
    </font>
    <font>
      <b/>
      <sz val="11"/>
      <name val="Arial"/>
      <family val="3"/>
      <scheme val="major"/>
    </font>
    <font>
      <sz val="10.5"/>
      <color theme="0"/>
      <name val="Arial"/>
      <family val="2"/>
      <scheme val="minor"/>
    </font>
    <font>
      <u/>
      <sz val="10.5"/>
      <color theme="1"/>
      <name val="Arial"/>
      <family val="2"/>
      <scheme val="minor"/>
    </font>
    <font>
      <sz val="12"/>
      <name val="Consolas"/>
      <family val="3"/>
    </font>
    <font>
      <sz val="10.5"/>
      <name val="Arial"/>
      <family val="2"/>
      <scheme val="minor"/>
    </font>
    <font>
      <sz val="10.5"/>
      <color theme="4" tint="0.59999389629810485"/>
      <name val="Arial"/>
      <family val="2"/>
      <scheme val="minor"/>
    </font>
    <font>
      <sz val="12"/>
      <color theme="1"/>
      <name val="Consolas"/>
      <family val="3"/>
    </font>
  </fonts>
  <fills count="8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155F90"/>
        <bgColor indexed="64"/>
      </patternFill>
    </fill>
    <fill>
      <patternFill patternType="solid">
        <fgColor rgb="FFABE441"/>
        <bgColor indexed="64"/>
      </patternFill>
    </fill>
    <fill>
      <patternFill patternType="solid">
        <fgColor rgb="FFE5233D"/>
        <bgColor indexed="64"/>
      </patternFill>
    </fill>
    <fill>
      <patternFill patternType="solid">
        <fgColor rgb="FFEEEC22"/>
        <bgColor indexed="64"/>
      </patternFill>
    </fill>
    <fill>
      <patternFill patternType="solid">
        <fgColor rgb="FF6BC5FF"/>
        <bgColor indexed="64"/>
      </patternFill>
    </fill>
    <fill>
      <patternFill patternType="solid">
        <fgColor rgb="FFEDF6F9"/>
        <bgColor indexed="64"/>
      </patternFill>
    </fill>
    <fill>
      <patternFill patternType="solid">
        <fgColor rgb="FFFCFCD1"/>
        <bgColor indexed="64"/>
      </patternFill>
    </fill>
    <fill>
      <patternFill patternType="solid">
        <fgColor rgb="FFE1F3FF"/>
        <bgColor indexed="64"/>
      </patternFill>
    </fill>
    <fill>
      <patternFill patternType="solid">
        <fgColor rgb="FFC9E4ED"/>
        <bgColor indexed="64"/>
      </patternFill>
    </fill>
    <fill>
      <patternFill patternType="solid">
        <fgColor rgb="FF87C5ED"/>
        <bgColor indexed="64"/>
      </patternFill>
    </fill>
    <fill>
      <patternFill patternType="solid">
        <fgColor rgb="FFFAD1D7"/>
        <bgColor indexed="64"/>
      </patternFill>
    </fill>
    <fill>
      <patternFill patternType="solid">
        <fgColor rgb="FFEEFAD8"/>
        <bgColor indexed="64"/>
      </patternFill>
    </fill>
    <fill>
      <patternFill patternType="solid">
        <fgColor rgb="FFC1E1F7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DF4B3"/>
        <bgColor indexed="64"/>
      </patternFill>
    </fill>
    <fill>
      <patternFill patternType="solid">
        <fgColor rgb="FFF4A6AF"/>
        <bgColor indexed="64"/>
      </patternFill>
    </fill>
    <fill>
      <patternFill patternType="solid">
        <fgColor rgb="FFF9F9A6"/>
        <bgColor indexed="64"/>
      </patternFill>
    </fill>
    <fill>
      <patternFill patternType="solid">
        <fgColor rgb="FFC4E8FF"/>
        <bgColor indexed="64"/>
      </patternFill>
    </fill>
    <fill>
      <patternFill patternType="solid">
        <fgColor rgb="FF92C8D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49A7E4"/>
        <bgColor indexed="64"/>
      </patternFill>
    </fill>
    <fill>
      <patternFill patternType="solid">
        <fgColor rgb="FFCCEE8C"/>
        <bgColor indexed="64"/>
      </patternFill>
    </fill>
    <fill>
      <patternFill patternType="solid">
        <fgColor rgb="FFEF7A89"/>
        <bgColor indexed="64"/>
      </patternFill>
    </fill>
    <fill>
      <patternFill patternType="solid">
        <fgColor rgb="FFF4F479"/>
        <bgColor indexed="64"/>
      </patternFill>
    </fill>
    <fill>
      <patternFill patternType="solid">
        <fgColor rgb="FFA6DBFF"/>
        <bgColor indexed="64"/>
      </patternFill>
    </fill>
    <fill>
      <patternFill patternType="solid">
        <fgColor rgb="FF3D98B6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10476B"/>
        <bgColor indexed="64"/>
      </patternFill>
    </fill>
    <fill>
      <patternFill patternType="solid">
        <fgColor rgb="FF86BF1C"/>
        <bgColor indexed="64"/>
      </patternFill>
    </fill>
    <fill>
      <patternFill patternType="solid">
        <fgColor rgb="FFB01528"/>
        <bgColor indexed="64"/>
      </patternFill>
    </fill>
    <fill>
      <patternFill patternType="solid">
        <fgColor rgb="FFBDBD0F"/>
        <bgColor indexed="64"/>
      </patternFill>
    </fill>
    <fill>
      <patternFill patternType="solid">
        <fgColor rgb="FF0F9FFF"/>
        <bgColor indexed="64"/>
      </patternFill>
    </fill>
    <fill>
      <patternFill patternType="solid">
        <fgColor rgb="FF1E4D5B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0B3048"/>
        <bgColor indexed="64"/>
      </patternFill>
    </fill>
    <fill>
      <patternFill patternType="solid">
        <fgColor rgb="FF5A8112"/>
        <bgColor indexed="64"/>
      </patternFill>
    </fill>
    <fill>
      <patternFill patternType="solid">
        <fgColor rgb="FF760E1B"/>
        <bgColor indexed="64"/>
      </patternFill>
    </fill>
    <fill>
      <patternFill patternType="solid">
        <fgColor rgb="FF7E7E0A"/>
        <bgColor indexed="64"/>
      </patternFill>
    </fill>
    <fill>
      <patternFill patternType="solid">
        <fgColor rgb="FF006CB5"/>
        <bgColor indexed="64"/>
      </patternFill>
    </fill>
    <fill>
      <patternFill patternType="solid">
        <fgColor rgb="FF0C1E23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1"/>
      </top>
      <bottom style="double">
        <color theme="1"/>
      </bottom>
      <diagonal/>
    </border>
  </borders>
  <cellStyleXfs count="48">
    <xf numFmtId="0" fontId="0" fillId="0" borderId="0"/>
    <xf numFmtId="165" fontId="1" fillId="0" borderId="0" applyFont="0" applyFill="0" applyBorder="0" applyAlignment="0" applyProtection="0"/>
    <xf numFmtId="166" fontId="3" fillId="0" borderId="0" applyFill="0" applyBorder="0" applyAlignment="0" applyProtection="0"/>
    <xf numFmtId="167" fontId="3" fillId="0" borderId="0" applyFill="0" applyBorder="0" applyAlignment="0" applyProtection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Alignment="0" applyProtection="0"/>
    <xf numFmtId="0" fontId="16" fillId="0" borderId="0" applyNumberFormat="0" applyFill="0" applyAlignment="0" applyProtection="0"/>
    <xf numFmtId="0" fontId="16" fillId="0" borderId="0" applyNumberFormat="0" applyFill="0" applyAlignment="0" applyProtection="0"/>
    <xf numFmtId="0" fontId="4" fillId="2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3" fillId="5" borderId="1" applyNumberFormat="0" applyAlignment="0" applyProtection="0"/>
    <xf numFmtId="0" fontId="7" fillId="6" borderId="2" applyNumberFormat="0" applyAlignment="0" applyProtection="0"/>
    <xf numFmtId="0" fontId="8" fillId="6" borderId="1" applyNumberFormat="0" applyAlignment="0" applyProtection="0"/>
    <xf numFmtId="0" fontId="10" fillId="0" borderId="3" applyNumberFormat="0" applyFill="0" applyAlignment="0" applyProtection="0"/>
    <xf numFmtId="0" fontId="12" fillId="7" borderId="4" applyNumberFormat="0" applyAlignment="0" applyProtection="0"/>
    <xf numFmtId="0" fontId="11" fillId="0" borderId="0" applyNumberFormat="0" applyFill="0" applyBorder="0" applyAlignment="0" applyProtection="0"/>
    <xf numFmtId="0" fontId="3" fillId="32" borderId="5" applyNumberFormat="0" applyAlignment="0" applyProtection="0"/>
    <xf numFmtId="0" fontId="9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8" fillId="0" borderId="0" applyNumberFormat="0" applyFill="0" applyBorder="0" applyAlignment="0" applyProtection="0"/>
    <xf numFmtId="0" fontId="17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7" fillId="31" borderId="0" applyNumberFormat="0" applyBorder="0" applyAlignment="0" applyProtection="0"/>
    <xf numFmtId="4" fontId="3" fillId="0" borderId="0" applyFont="0" applyFill="0" applyBorder="0" applyProtection="0"/>
  </cellStyleXfs>
  <cellXfs count="7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20" fillId="0" borderId="0" xfId="0" applyFont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40" borderId="0" xfId="0" applyFill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43" borderId="0" xfId="0" applyFill="1" applyAlignment="1">
      <alignment horizontal="center" vertical="center"/>
    </xf>
    <xf numFmtId="0" fontId="0" fillId="44" borderId="0" xfId="0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21" fillId="0" borderId="0" xfId="0" applyNumberFormat="1" applyFont="1" applyAlignment="1">
      <alignment horizontal="left"/>
    </xf>
    <xf numFmtId="0" fontId="21" fillId="0" borderId="0" xfId="0" applyFont="1"/>
    <xf numFmtId="0" fontId="0" fillId="46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0" fontId="0" fillId="50" borderId="0" xfId="0" applyFill="1" applyAlignment="1">
      <alignment horizontal="center" vertical="center"/>
    </xf>
    <xf numFmtId="0" fontId="0" fillId="51" borderId="0" xfId="0" applyFill="1" applyAlignment="1">
      <alignment horizontal="center" vertical="center"/>
    </xf>
    <xf numFmtId="0" fontId="0" fillId="52" borderId="0" xfId="0" applyFill="1" applyAlignment="1">
      <alignment horizontal="center" vertical="center"/>
    </xf>
    <xf numFmtId="0" fontId="0" fillId="53" borderId="0" xfId="0" applyFill="1" applyAlignment="1">
      <alignment horizontal="center" vertical="center"/>
    </xf>
    <xf numFmtId="0" fontId="0" fillId="54" borderId="0" xfId="0" applyFill="1" applyAlignment="1">
      <alignment horizontal="center" vertical="center"/>
    </xf>
    <xf numFmtId="0" fontId="0" fillId="55" borderId="0" xfId="0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0" fillId="56" borderId="0" xfId="0" applyFill="1" applyAlignment="1">
      <alignment horizontal="center" vertical="center"/>
    </xf>
    <xf numFmtId="0" fontId="0" fillId="57" borderId="0" xfId="0" applyFill="1" applyAlignment="1">
      <alignment horizontal="center" vertical="center"/>
    </xf>
    <xf numFmtId="0" fontId="0" fillId="58" borderId="0" xfId="0" applyFill="1" applyAlignment="1">
      <alignment horizontal="center" vertical="center"/>
    </xf>
    <xf numFmtId="0" fontId="0" fillId="59" borderId="0" xfId="0" applyFill="1" applyAlignment="1">
      <alignment horizontal="center" vertical="center"/>
    </xf>
    <xf numFmtId="0" fontId="0" fillId="60" borderId="0" xfId="0" applyFill="1" applyAlignment="1">
      <alignment horizontal="center" vertical="center"/>
    </xf>
    <xf numFmtId="0" fontId="0" fillId="61" borderId="0" xfId="0" applyFill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0" fillId="64" borderId="0" xfId="0" applyFill="1" applyAlignment="1">
      <alignment horizontal="center" vertical="center"/>
    </xf>
    <xf numFmtId="0" fontId="0" fillId="65" borderId="0" xfId="0" applyFill="1" applyAlignment="1">
      <alignment horizontal="center" vertical="center"/>
    </xf>
    <xf numFmtId="0" fontId="0" fillId="66" borderId="0" xfId="0" applyFill="1" applyAlignment="1">
      <alignment horizontal="center" vertical="center"/>
    </xf>
    <xf numFmtId="0" fontId="0" fillId="67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68" borderId="0" xfId="0" applyFill="1" applyAlignment="1">
      <alignment horizontal="center" vertical="center"/>
    </xf>
    <xf numFmtId="0" fontId="0" fillId="69" borderId="0" xfId="0" applyFill="1" applyAlignment="1">
      <alignment horizontal="center" vertical="center"/>
    </xf>
    <xf numFmtId="0" fontId="0" fillId="70" borderId="0" xfId="0" applyFill="1" applyAlignment="1">
      <alignment horizontal="center" vertical="center"/>
    </xf>
    <xf numFmtId="0" fontId="0" fillId="71" borderId="0" xfId="0" applyFill="1" applyAlignment="1">
      <alignment horizontal="center" vertical="center"/>
    </xf>
    <xf numFmtId="0" fontId="0" fillId="72" borderId="0" xfId="0" applyFill="1" applyAlignment="1">
      <alignment horizontal="center" vertical="center"/>
    </xf>
    <xf numFmtId="0" fontId="0" fillId="73" borderId="0" xfId="0" applyFill="1" applyAlignment="1">
      <alignment horizontal="center" vertical="center"/>
    </xf>
    <xf numFmtId="0" fontId="0" fillId="74" borderId="0" xfId="0" applyFill="1" applyAlignment="1">
      <alignment horizontal="center" vertical="center"/>
    </xf>
    <xf numFmtId="0" fontId="0" fillId="75" borderId="0" xfId="0" applyFill="1" applyAlignment="1">
      <alignment horizontal="center" vertical="center"/>
    </xf>
    <xf numFmtId="0" fontId="0" fillId="76" borderId="0" xfId="0" applyFill="1" applyAlignment="1">
      <alignment horizontal="center" vertical="center"/>
    </xf>
    <xf numFmtId="0" fontId="0" fillId="77" borderId="0" xfId="0" applyFill="1" applyAlignment="1">
      <alignment horizontal="center" vertical="center"/>
    </xf>
    <xf numFmtId="0" fontId="0" fillId="78" borderId="0" xfId="0" applyFill="1" applyAlignment="1">
      <alignment horizontal="center" vertical="center"/>
    </xf>
    <xf numFmtId="0" fontId="0" fillId="79" borderId="0" xfId="0" applyFill="1" applyAlignment="1">
      <alignment horizontal="center" vertical="center"/>
    </xf>
    <xf numFmtId="0" fontId="0" fillId="80" borderId="0" xfId="0" applyFill="1" applyAlignment="1">
      <alignment horizontal="center" vertical="center"/>
    </xf>
    <xf numFmtId="0" fontId="0" fillId="81" borderId="0" xfId="0" applyFill="1" applyAlignment="1">
      <alignment horizontal="center" vertical="center"/>
    </xf>
    <xf numFmtId="0" fontId="0" fillId="82" borderId="0" xfId="0" applyFill="1" applyAlignment="1">
      <alignment horizontal="center" vertical="center"/>
    </xf>
    <xf numFmtId="0" fontId="0" fillId="83" borderId="0" xfId="0" applyFill="1" applyAlignment="1">
      <alignment horizontal="center" vertical="center"/>
    </xf>
    <xf numFmtId="0" fontId="0" fillId="84" borderId="0" xfId="0" applyFill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0" fillId="85" borderId="0" xfId="0" applyFill="1" applyAlignment="1">
      <alignment horizontal="center" vertical="center"/>
    </xf>
    <xf numFmtId="0" fontId="0" fillId="86" borderId="0" xfId="0" applyFill="1" applyAlignment="1">
      <alignment horizontal="center" vertical="center"/>
    </xf>
    <xf numFmtId="0" fontId="0" fillId="87" borderId="0" xfId="0" applyFill="1" applyAlignment="1">
      <alignment horizontal="center" vertical="center"/>
    </xf>
    <xf numFmtId="0" fontId="20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8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1" builtinId="27" customBuiltin="1"/>
    <cellStyle name="Calculation" xfId="15" builtinId="22" customBuiltin="1"/>
    <cellStyle name="Check Cell" xfId="17" builtinId="23" hidden="1" customBuiltin="1"/>
    <cellStyle name="Comma" xfId="1" builtinId="3" hidden="1"/>
    <cellStyle name="Comma" xfId="47" builtinId="3" customBuiltin="1"/>
    <cellStyle name="Comma [0]" xfId="2" builtinId="6" customBuiltin="1"/>
    <cellStyle name="Currency" xfId="3" builtinId="4" customBuiltin="1"/>
    <cellStyle name="Currency [0]" xfId="4" builtinId="7" hidden="1"/>
    <cellStyle name="Explanatory Text" xfId="20" builtinId="53" hidden="1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" xfId="22" builtinId="8" customBuiltin="1"/>
    <cellStyle name="Input" xfId="13" builtinId="20" customBuiltin="1"/>
    <cellStyle name="Linked Cell" xfId="16" builtinId="24" hidden="1" customBuiltin="1"/>
    <cellStyle name="Neutral" xfId="12" builtinId="28" customBuiltin="1"/>
    <cellStyle name="Normal" xfId="0" builtinId="0" customBuiltin="1"/>
    <cellStyle name="Note" xfId="19" builtinId="10" customBuiltin="1"/>
    <cellStyle name="Output" xfId="14" builtinId="21" customBuiltin="1"/>
    <cellStyle name="Title" xfId="5" builtinId="15" hidden="1"/>
    <cellStyle name="Total" xfId="21" builtinId="25" customBuiltin="1"/>
    <cellStyle name="Warning Text" xfId="18" builtinId="11" hidden="1" customBuiltin="1"/>
  </cellStyles>
  <dxfs count="2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.5"/>
        <color auto="1"/>
        <name val="Arial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.5"/>
        <color auto="1"/>
        <name val="Arial"/>
        <scheme val="minor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nsolas"/>
        <scheme val="none"/>
      </font>
      <fill>
        <patternFill patternType="solid">
          <fgColor indexed="64"/>
          <bgColor rgb="FF00E9F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onsolas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3" tint="0.59996337778862885"/>
        </patternFill>
      </fill>
      <border>
        <left/>
        <right/>
        <top style="thin">
          <color theme="3" tint="-0.24994659260841701"/>
        </top>
        <bottom style="thin">
          <color theme="3" tint="-0.24994659260841701"/>
        </bottom>
        <vertical style="thin">
          <color theme="3" tint="-0.24994659260841701"/>
        </vertical>
        <horizontal style="thin">
          <color theme="3" tint="-0.24994659260841701"/>
        </horizontal>
      </border>
    </dxf>
    <dxf>
      <border>
        <left/>
        <right/>
        <top style="thin">
          <color theme="3" tint="-0.24994659260841701"/>
        </top>
        <bottom style="thin">
          <color theme="3" tint="-0.24994659260841701"/>
        </bottom>
        <vertical style="thin">
          <color theme="3" tint="-0.24994659260841701"/>
        </vertical>
        <horizontal style="thin">
          <color theme="3" tint="-0.24994659260841701"/>
        </horizontal>
      </border>
    </dxf>
  </dxfs>
  <tableStyles count="2" defaultTableStyle="BSS Tabelle" defaultPivotStyle="PivotStyleLight16">
    <tableStyle name="BSS Tabelle" pivot="0" count="3">
      <tableStyleElement type="wholeTable" dxfId="25"/>
      <tableStyleElement type="headerRow" dxfId="24"/>
      <tableStyleElement type="totalRow" dxfId="23"/>
    </tableStyle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K61" totalsRowShown="0" headerRowDxfId="22" dataDxfId="21" totalsRowDxfId="20">
  <autoFilter ref="A1:K61"/>
  <sortState ref="A2:J61">
    <sortCondition ref="J1:J61"/>
  </sortState>
  <tableColumns count="11">
    <tableColumn id="1" name="R" dataDxfId="19" totalsRowDxfId="18"/>
    <tableColumn id="2" name="G" dataDxfId="17" totalsRowDxfId="16"/>
    <tableColumn id="3" name="B" dataDxfId="15" totalsRowDxfId="14"/>
    <tableColumn id="4" name="hex" dataDxfId="13" totalsRowDxfId="12">
      <calculatedColumnFormula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calculatedColumnFormula>
    </tableColumn>
    <tableColumn id="5" name="colour" dataDxfId="11" totalsRowDxfId="10"/>
    <tableColumn id="6" name="Typ" dataDxfId="9"/>
    <tableColumn id="7" name="Full" dataDxfId="8" totalsRowDxfId="7">
      <calculatedColumnFormula>CONCATENATE(Table1[[#This Row],[R]],",",Table1[[#This Row],[G]],",",Table1[[#This Row],[B]])</calculatedColumnFormula>
    </tableColumn>
    <tableColumn id="8" name="col_pal" dataDxfId="6" totalsRowDxfId="5"/>
    <tableColumn id="9" name="hashed_hex" dataDxfId="4">
      <calculatedColumnFormula>CONCATENATE("#",Table1[[#This Row],[hex]])</calculatedColumnFormula>
    </tableColumn>
    <tableColumn id="10" name="excel_form" dataDxfId="3" totalsRowDxfId="2"/>
    <tableColumn id="11" name="name" dataDxfId="1" totalsRow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SS V2">
      <a:dk1>
        <a:sysClr val="windowText" lastClr="000000"/>
      </a:dk1>
      <a:lt1>
        <a:sysClr val="window" lastClr="FFFFFF"/>
      </a:lt1>
      <a:dk2>
        <a:srgbClr val="BFBFBF"/>
      </a:dk2>
      <a:lt2>
        <a:srgbClr val="F2F2F2"/>
      </a:lt2>
      <a:accent1>
        <a:srgbClr val="155F90"/>
      </a:accent1>
      <a:accent2>
        <a:srgbClr val="ABE441"/>
      </a:accent2>
      <a:accent3>
        <a:srgbClr val="E5233D"/>
      </a:accent3>
      <a:accent4>
        <a:srgbClr val="EEEC22"/>
      </a:accent4>
      <a:accent5>
        <a:srgbClr val="6BC5FF"/>
      </a:accent5>
      <a:accent6>
        <a:srgbClr val="EDF6F9"/>
      </a:accent6>
      <a:hlink>
        <a:srgbClr val="000000"/>
      </a:hlink>
      <a:folHlink>
        <a:srgbClr val="00000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1"/>
  <sheetViews>
    <sheetView tabSelected="1" zoomScale="108" workbookViewId="0">
      <selection activeCell="M11" sqref="M11"/>
    </sheetView>
  </sheetViews>
  <sheetFormatPr defaultRowHeight="13.8" x14ac:dyDescent="0.25"/>
  <cols>
    <col min="1" max="1" width="9.8984375" bestFit="1" customWidth="1"/>
    <col min="7" max="7" width="13.8984375" customWidth="1"/>
    <col min="8" max="16" width="9.8984375" bestFit="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3" t="s">
        <v>29</v>
      </c>
      <c r="E1" s="1" t="s">
        <v>28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30</v>
      </c>
      <c r="K1" s="1" t="s">
        <v>32</v>
      </c>
    </row>
    <row r="2" spans="1:16" ht="15.6" x14ac:dyDescent="0.25">
      <c r="A2" s="1" t="s">
        <v>3</v>
      </c>
      <c r="B2" s="1" t="s">
        <v>3</v>
      </c>
      <c r="C2" s="1" t="s">
        <v>3</v>
      </c>
      <c r="D2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FFFFFF</v>
      </c>
      <c r="E2" s="5"/>
      <c r="F2" s="32">
        <v>0</v>
      </c>
      <c r="G2" s="22" t="str">
        <f>CONCATENATE(Table1[[#This Row],[R]],",",Table1[[#This Row],[G]],",",Table1[[#This Row],[B]])</f>
        <v>255,255,255</v>
      </c>
      <c r="H2" s="22">
        <v>1</v>
      </c>
      <c r="I2" s="3" t="str">
        <f>CONCATENATE("#",Table1[[#This Row],[hex]])</f>
        <v>#FFFFFF</v>
      </c>
      <c r="J2" s="1">
        <v>1</v>
      </c>
      <c r="K2" s="1" t="s">
        <v>39</v>
      </c>
    </row>
    <row r="3" spans="1:16" ht="15.6" x14ac:dyDescent="0.25">
      <c r="A3" s="1" t="s">
        <v>4</v>
      </c>
      <c r="B3" s="1" t="s">
        <v>4</v>
      </c>
      <c r="C3" s="1" t="s">
        <v>4</v>
      </c>
      <c r="D3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000000</v>
      </c>
      <c r="E3" s="6"/>
      <c r="F3" s="32">
        <v>0</v>
      </c>
      <c r="G3" s="22" t="str">
        <f>CONCATENATE(Table1[[#This Row],[R]],",",Table1[[#This Row],[G]],",",Table1[[#This Row],[B]])</f>
        <v>0,0,0</v>
      </c>
      <c r="H3" s="22">
        <v>2</v>
      </c>
      <c r="I3" s="3" t="str">
        <f>CONCATENATE("#",Table1[[#This Row],[hex]])</f>
        <v>#000000</v>
      </c>
      <c r="J3" s="1">
        <v>2</v>
      </c>
      <c r="K3" s="1" t="s">
        <v>31</v>
      </c>
    </row>
    <row r="4" spans="1:16" ht="15.6" x14ac:dyDescent="0.25">
      <c r="A4" s="1" t="s">
        <v>5</v>
      </c>
      <c r="B4" s="1" t="s">
        <v>5</v>
      </c>
      <c r="C4" s="1" t="s">
        <v>5</v>
      </c>
      <c r="D4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F2F2F2</v>
      </c>
      <c r="E4" s="7"/>
      <c r="F4" s="32">
        <v>0</v>
      </c>
      <c r="G4" s="22" t="str">
        <f>CONCATENATE(Table1[[#This Row],[R]],",",Table1[[#This Row],[G]],",",Table1[[#This Row],[B]])</f>
        <v>242,242,242</v>
      </c>
      <c r="H4" s="22">
        <v>3</v>
      </c>
      <c r="I4" s="3" t="str">
        <f>CONCATENATE("#",Table1[[#This Row],[hex]])</f>
        <v>#F2F2F2</v>
      </c>
      <c r="J4" s="1">
        <v>3</v>
      </c>
      <c r="K4" s="1" t="s">
        <v>41</v>
      </c>
    </row>
    <row r="5" spans="1:16" ht="15.6" x14ac:dyDescent="0.25">
      <c r="A5" s="1" t="s">
        <v>6</v>
      </c>
      <c r="B5" s="1" t="s">
        <v>6</v>
      </c>
      <c r="C5" s="1" t="s">
        <v>6</v>
      </c>
      <c r="D5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BFBFBF</v>
      </c>
      <c r="E5" s="8"/>
      <c r="F5" s="32">
        <v>0</v>
      </c>
      <c r="G5" s="22" t="str">
        <f>CONCATENATE(Table1[[#This Row],[R]],",",Table1[[#This Row],[G]],",",Table1[[#This Row],[B]])</f>
        <v>191,191,191</v>
      </c>
      <c r="H5" s="22">
        <v>4</v>
      </c>
      <c r="I5" s="3" t="str">
        <f>CONCATENATE("#",Table1[[#This Row],[hex]])</f>
        <v>#BFBFBF</v>
      </c>
      <c r="J5" s="1">
        <v>4</v>
      </c>
      <c r="K5" s="1" t="s">
        <v>33</v>
      </c>
    </row>
    <row r="6" spans="1:16" ht="15.6" x14ac:dyDescent="0.25">
      <c r="A6" s="1" t="s">
        <v>7</v>
      </c>
      <c r="B6" s="1" t="s">
        <v>8</v>
      </c>
      <c r="C6" s="1" t="s">
        <v>9</v>
      </c>
      <c r="D6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155F90</v>
      </c>
      <c r="E6" s="9"/>
      <c r="F6" s="32">
        <v>0</v>
      </c>
      <c r="G6" s="22" t="str">
        <f>CONCATENATE(Table1[[#This Row],[R]],",",Table1[[#This Row],[G]],",",Table1[[#This Row],[B]])</f>
        <v>21,95,144</v>
      </c>
      <c r="H6" s="22">
        <v>5</v>
      </c>
      <c r="I6" s="3" t="str">
        <f>CONCATENATE("#",Table1[[#This Row],[hex]])</f>
        <v>#155F90</v>
      </c>
      <c r="J6" s="1">
        <v>5</v>
      </c>
      <c r="K6" s="1" t="s">
        <v>34</v>
      </c>
    </row>
    <row r="7" spans="1:16" ht="15.6" x14ac:dyDescent="0.25">
      <c r="A7" s="1" t="s">
        <v>10</v>
      </c>
      <c r="B7" s="1" t="s">
        <v>11</v>
      </c>
      <c r="C7" s="1" t="s">
        <v>12</v>
      </c>
      <c r="D7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ABE441</v>
      </c>
      <c r="E7" s="10"/>
      <c r="F7" s="32">
        <v>0</v>
      </c>
      <c r="G7" s="22" t="str">
        <f>CONCATENATE(Table1[[#This Row],[R]],",",Table1[[#This Row],[G]],",",Table1[[#This Row],[B]])</f>
        <v>171,228,65</v>
      </c>
      <c r="H7" s="22">
        <v>6</v>
      </c>
      <c r="I7" s="3" t="str">
        <f>CONCATENATE("#",Table1[[#This Row],[hex]])</f>
        <v>#ABE441</v>
      </c>
      <c r="J7" s="1">
        <v>6</v>
      </c>
      <c r="K7" s="1" t="s">
        <v>35</v>
      </c>
    </row>
    <row r="8" spans="1:16" ht="15.6" x14ac:dyDescent="0.25">
      <c r="A8" s="1" t="s">
        <v>13</v>
      </c>
      <c r="B8" s="1" t="s">
        <v>14</v>
      </c>
      <c r="C8" s="1" t="s">
        <v>15</v>
      </c>
      <c r="D8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E5233D</v>
      </c>
      <c r="E8" s="11"/>
      <c r="F8" s="32">
        <v>0</v>
      </c>
      <c r="G8" s="22" t="str">
        <f>CONCATENATE(Table1[[#This Row],[R]],",",Table1[[#This Row],[G]],",",Table1[[#This Row],[B]])</f>
        <v>229,35,61</v>
      </c>
      <c r="H8" s="22">
        <v>7</v>
      </c>
      <c r="I8" s="3" t="str">
        <f>CONCATENATE("#",Table1[[#This Row],[hex]])</f>
        <v>#E5233D</v>
      </c>
      <c r="J8" s="1">
        <v>7</v>
      </c>
      <c r="K8" s="1" t="s">
        <v>36</v>
      </c>
    </row>
    <row r="9" spans="1:16" ht="15.6" x14ac:dyDescent="0.25">
      <c r="A9" s="1" t="s">
        <v>16</v>
      </c>
      <c r="B9" s="1" t="s">
        <v>17</v>
      </c>
      <c r="C9" s="1" t="s">
        <v>18</v>
      </c>
      <c r="D9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EEEC22</v>
      </c>
      <c r="E9" s="12"/>
      <c r="F9" s="32">
        <v>0</v>
      </c>
      <c r="G9" s="22" t="str">
        <f>CONCATENATE(Table1[[#This Row],[R]],",",Table1[[#This Row],[G]],",",Table1[[#This Row],[B]])</f>
        <v>238,236,34</v>
      </c>
      <c r="H9" s="22">
        <v>8</v>
      </c>
      <c r="I9" s="3" t="str">
        <f>CONCATENATE("#",Table1[[#This Row],[hex]])</f>
        <v>#EEEC22</v>
      </c>
      <c r="J9" s="1">
        <v>8</v>
      </c>
      <c r="K9" s="1" t="s">
        <v>37</v>
      </c>
    </row>
    <row r="10" spans="1:16" ht="15.6" x14ac:dyDescent="0.25">
      <c r="A10" s="1" t="s">
        <v>19</v>
      </c>
      <c r="B10" s="1" t="s">
        <v>20</v>
      </c>
      <c r="C10" s="1" t="s">
        <v>3</v>
      </c>
      <c r="D10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6BC5FF</v>
      </c>
      <c r="E10" s="13"/>
      <c r="F10" s="32">
        <v>0</v>
      </c>
      <c r="G10" s="22" t="str">
        <f>CONCATENATE(Table1[[#This Row],[R]],",",Table1[[#This Row],[G]],",",Table1[[#This Row],[B]])</f>
        <v>107,197,255</v>
      </c>
      <c r="H10" s="22">
        <v>9</v>
      </c>
      <c r="I10" s="3" t="str">
        <f>CONCATENATE("#",Table1[[#This Row],[hex]])</f>
        <v>#6BC5FF</v>
      </c>
      <c r="J10" s="1">
        <v>9</v>
      </c>
      <c r="K10" s="1" t="s">
        <v>38</v>
      </c>
    </row>
    <row r="11" spans="1:16" ht="15.6" x14ac:dyDescent="0.25">
      <c r="A11" s="1" t="s">
        <v>21</v>
      </c>
      <c r="B11" s="1" t="s">
        <v>22</v>
      </c>
      <c r="C11" s="1" t="s">
        <v>23</v>
      </c>
      <c r="D11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EDF6F9</v>
      </c>
      <c r="E11" s="14"/>
      <c r="F11" s="32">
        <v>0</v>
      </c>
      <c r="G11" s="22" t="str">
        <f>CONCATENATE(Table1[[#This Row],[R]],",",Table1[[#This Row],[G]],",",Table1[[#This Row],[B]])</f>
        <v>237,246,249</v>
      </c>
      <c r="H11" s="22">
        <v>10</v>
      </c>
      <c r="I11" s="3" t="str">
        <f>CONCATENATE("#",Table1[[#This Row],[hex]])</f>
        <v>#EDF6F9</v>
      </c>
      <c r="J11" s="1">
        <v>10</v>
      </c>
      <c r="K11" s="1" t="s">
        <v>40</v>
      </c>
    </row>
    <row r="12" spans="1:16" ht="15.6" x14ac:dyDescent="0.25">
      <c r="A12" s="1">
        <v>242</v>
      </c>
      <c r="B12" s="1">
        <v>242</v>
      </c>
      <c r="C12" s="1">
        <v>242</v>
      </c>
      <c r="D12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F2F2F2</v>
      </c>
      <c r="E12" s="7"/>
      <c r="F12" s="3">
        <v>-5</v>
      </c>
      <c r="G12" s="1" t="str">
        <f>CONCATENATE(Table1[[#This Row],[R]],",",Table1[[#This Row],[G]],",",Table1[[#This Row],[B]])</f>
        <v>242,242,242</v>
      </c>
      <c r="H12" s="1">
        <v>1</v>
      </c>
      <c r="I12" s="67" t="str">
        <f>CONCATENATE("#",Table1[[#This Row],[hex]])</f>
        <v>#F2F2F2</v>
      </c>
      <c r="J12" s="1">
        <v>11</v>
      </c>
      <c r="K12" s="15"/>
      <c r="L12" s="2"/>
      <c r="M12" s="2"/>
      <c r="N12" s="2"/>
      <c r="O12" s="2"/>
      <c r="P12" s="2"/>
    </row>
    <row r="13" spans="1:16" ht="15.6" x14ac:dyDescent="0.25">
      <c r="A13" s="1">
        <v>128</v>
      </c>
      <c r="B13" s="1">
        <v>128</v>
      </c>
      <c r="C13" s="1">
        <v>128</v>
      </c>
      <c r="D13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808080</v>
      </c>
      <c r="E13" s="26"/>
      <c r="F13" s="3">
        <v>50</v>
      </c>
      <c r="G13" s="1" t="str">
        <f>CONCATENATE(Table1[[#This Row],[R]],",",Table1[[#This Row],[G]],",",Table1[[#This Row],[B]])</f>
        <v>128,128,128</v>
      </c>
      <c r="H13" s="1">
        <v>2</v>
      </c>
      <c r="I13" s="67" t="str">
        <f>CONCATENATE("#",Table1[[#This Row],[hex]])</f>
        <v>#808080</v>
      </c>
      <c r="J13" s="1">
        <v>12</v>
      </c>
      <c r="K13" s="68"/>
      <c r="L13" s="19"/>
      <c r="M13" s="19"/>
    </row>
    <row r="14" spans="1:16" ht="15.6" x14ac:dyDescent="0.25">
      <c r="A14" s="1">
        <v>218</v>
      </c>
      <c r="B14" s="1">
        <v>218</v>
      </c>
      <c r="C14" s="1">
        <v>218</v>
      </c>
      <c r="D14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DADADA</v>
      </c>
      <c r="E14" s="27"/>
      <c r="F14" s="3">
        <v>-10</v>
      </c>
      <c r="G14" s="15" t="str">
        <f>CONCATENATE(Table1[[#This Row],[R]],",",Table1[[#This Row],[G]],",",Table1[[#This Row],[B]])</f>
        <v>218,218,218</v>
      </c>
      <c r="H14" s="1">
        <v>3</v>
      </c>
      <c r="I14" s="67" t="str">
        <f>CONCATENATE("#",Table1[[#This Row],[hex]])</f>
        <v>#DADADA</v>
      </c>
      <c r="J14" s="1">
        <v>13</v>
      </c>
      <c r="K14" s="68"/>
      <c r="L14" s="19"/>
      <c r="M14" s="19"/>
    </row>
    <row r="15" spans="1:16" ht="15.6" x14ac:dyDescent="0.25">
      <c r="A15" s="1">
        <v>242</v>
      </c>
      <c r="B15" s="1">
        <v>242</v>
      </c>
      <c r="C15" s="1">
        <v>242</v>
      </c>
      <c r="D15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F2F2F2</v>
      </c>
      <c r="E15" s="7"/>
      <c r="F15" s="3">
        <v>80</v>
      </c>
      <c r="G15" s="1" t="str">
        <f>CONCATENATE(Table1[[#This Row],[R]],",",Table1[[#This Row],[G]],",",Table1[[#This Row],[B]])</f>
        <v>242,242,242</v>
      </c>
      <c r="H15" s="3">
        <v>4</v>
      </c>
      <c r="I15" s="67" t="str">
        <f>CONCATENATE("#",Table1[[#This Row],[hex]])</f>
        <v>#F2F2F2</v>
      </c>
      <c r="J15" s="1">
        <v>14</v>
      </c>
      <c r="K15" s="69"/>
      <c r="L15" s="20"/>
      <c r="M15" s="20"/>
    </row>
    <row r="16" spans="1:16" ht="15.6" x14ac:dyDescent="0.25">
      <c r="A16" s="1">
        <v>193</v>
      </c>
      <c r="B16" s="1">
        <v>225</v>
      </c>
      <c r="C16" s="1">
        <v>247</v>
      </c>
      <c r="D16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C1E1F7</v>
      </c>
      <c r="E16" s="25"/>
      <c r="F16" s="3">
        <v>80</v>
      </c>
      <c r="G16" s="1" t="str">
        <f>CONCATENATE(Table1[[#This Row],[R]],",",Table1[[#This Row],[G]],",",Table1[[#This Row],[B]])</f>
        <v>193,225,247</v>
      </c>
      <c r="H16" s="1">
        <v>5</v>
      </c>
      <c r="I16" s="3" t="str">
        <f>CONCATENATE("#",Table1[[#This Row],[hex]])</f>
        <v>#C1E1F7</v>
      </c>
      <c r="J16" s="1">
        <v>15</v>
      </c>
      <c r="K16" s="69"/>
      <c r="L16" s="20"/>
      <c r="M16" s="20"/>
    </row>
    <row r="17" spans="1:11" ht="15.6" x14ac:dyDescent="0.25">
      <c r="A17" s="1">
        <v>238</v>
      </c>
      <c r="B17" s="1">
        <v>250</v>
      </c>
      <c r="C17" s="1">
        <v>216</v>
      </c>
      <c r="D17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EEFAD8</v>
      </c>
      <c r="E17" s="24"/>
      <c r="F17" s="3">
        <v>80</v>
      </c>
      <c r="G17" s="1" t="str">
        <f>CONCATENATE(Table1[[#This Row],[R]],",",Table1[[#This Row],[G]],",",Table1[[#This Row],[B]])</f>
        <v>238,250,216</v>
      </c>
      <c r="H17" s="1">
        <v>6</v>
      </c>
      <c r="I17" s="3" t="str">
        <f>CONCATENATE("#",Table1[[#This Row],[hex]])</f>
        <v>#EEFAD8</v>
      </c>
      <c r="J17" s="1">
        <v>16</v>
      </c>
      <c r="K17" s="1"/>
    </row>
    <row r="18" spans="1:11" ht="15.6" x14ac:dyDescent="0.25">
      <c r="A18" s="1">
        <v>250</v>
      </c>
      <c r="B18" s="1">
        <v>209</v>
      </c>
      <c r="C18" s="1">
        <v>215</v>
      </c>
      <c r="D18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FAD1D7</v>
      </c>
      <c r="E18" s="23"/>
      <c r="F18" s="3">
        <v>80</v>
      </c>
      <c r="G18" s="1" t="str">
        <f>CONCATENATE(Table1[[#This Row],[R]],",",Table1[[#This Row],[G]],",",Table1[[#This Row],[B]])</f>
        <v>250,209,215</v>
      </c>
      <c r="H18" s="1">
        <v>7</v>
      </c>
      <c r="I18" s="3" t="str">
        <f>CONCATENATE("#",Table1[[#This Row],[hex]])</f>
        <v>#FAD1D7</v>
      </c>
      <c r="J18" s="1">
        <v>17</v>
      </c>
      <c r="K18" s="1"/>
    </row>
    <row r="19" spans="1:11" ht="15.6" x14ac:dyDescent="0.25">
      <c r="A19" s="1">
        <v>252</v>
      </c>
      <c r="B19" s="1">
        <v>252</v>
      </c>
      <c r="C19" s="1">
        <v>209</v>
      </c>
      <c r="D19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FCFCD1</v>
      </c>
      <c r="E19" s="16"/>
      <c r="F19" s="3">
        <v>80</v>
      </c>
      <c r="G19" s="1" t="str">
        <f>CONCATENATE(Table1[[#This Row],[R]],",",Table1[[#This Row],[G]],",",Table1[[#This Row],[B]])</f>
        <v>252,252,209</v>
      </c>
      <c r="H19" s="1">
        <v>8</v>
      </c>
      <c r="I19" s="3" t="str">
        <f>CONCATENATE("#",Table1[[#This Row],[hex]])</f>
        <v>#FCFCD1</v>
      </c>
      <c r="J19" s="1">
        <v>18</v>
      </c>
      <c r="K19" s="1"/>
    </row>
    <row r="20" spans="1:11" ht="15.6" x14ac:dyDescent="0.25">
      <c r="A20" s="1">
        <v>225</v>
      </c>
      <c r="B20" s="1">
        <v>243</v>
      </c>
      <c r="C20" s="1">
        <v>255</v>
      </c>
      <c r="D20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E1F3FF</v>
      </c>
      <c r="E20" s="17"/>
      <c r="F20" s="3">
        <v>80</v>
      </c>
      <c r="G20" s="1" t="str">
        <f>CONCATENATE(Table1[[#This Row],[R]],",",Table1[[#This Row],[G]],",",Table1[[#This Row],[B]])</f>
        <v>225,243,255</v>
      </c>
      <c r="H20" s="1">
        <v>9</v>
      </c>
      <c r="I20" s="3" t="str">
        <f>CONCATENATE("#",Table1[[#This Row],[hex]])</f>
        <v>#E1F3FF</v>
      </c>
      <c r="J20" s="1">
        <v>19</v>
      </c>
      <c r="K20" s="1"/>
    </row>
    <row r="21" spans="1:11" ht="15.6" x14ac:dyDescent="0.25">
      <c r="A21" s="1">
        <v>201</v>
      </c>
      <c r="B21" s="1">
        <v>228</v>
      </c>
      <c r="C21" s="1">
        <v>237</v>
      </c>
      <c r="D21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C9E4ED</v>
      </c>
      <c r="E21" s="18"/>
      <c r="F21" s="3">
        <v>-10</v>
      </c>
      <c r="G21" s="1" t="str">
        <f>CONCATENATE(Table1[[#This Row],[R]],",",Table1[[#This Row],[G]],",",Table1[[#This Row],[B]])</f>
        <v>201,228,237</v>
      </c>
      <c r="H21" s="1">
        <v>10</v>
      </c>
      <c r="I21" s="3" t="str">
        <f>CONCATENATE("#",Table1[[#This Row],[hex]])</f>
        <v>#C9E4ED</v>
      </c>
      <c r="J21" s="1">
        <v>20</v>
      </c>
      <c r="K21" s="1"/>
    </row>
    <row r="22" spans="1:11" ht="15.6" x14ac:dyDescent="0.25">
      <c r="A22" s="1">
        <v>217</v>
      </c>
      <c r="B22" s="1">
        <v>217</v>
      </c>
      <c r="C22" s="1">
        <v>217</v>
      </c>
      <c r="D22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D9D9D9</v>
      </c>
      <c r="E22" s="28"/>
      <c r="F22" s="3">
        <v>-15</v>
      </c>
      <c r="G22" s="1" t="str">
        <f>CONCATENATE(Table1[[#This Row],[R]],",",Table1[[#This Row],[G]],",",Table1[[#This Row],[B]])</f>
        <v>217,217,217</v>
      </c>
      <c r="H22" s="1">
        <v>1</v>
      </c>
      <c r="I22" s="3" t="str">
        <f>CONCATENATE("#",Table1[[#This Row],[hex]])</f>
        <v>#D9D9D9</v>
      </c>
      <c r="J22" s="1">
        <v>21</v>
      </c>
      <c r="K22" s="1"/>
    </row>
    <row r="23" spans="1:11" ht="15.6" x14ac:dyDescent="0.25">
      <c r="A23" s="1">
        <v>89</v>
      </c>
      <c r="B23" s="1">
        <v>89</v>
      </c>
      <c r="C23" s="1">
        <v>89</v>
      </c>
      <c r="D23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595959</v>
      </c>
      <c r="E23" s="29"/>
      <c r="F23" s="3">
        <v>35</v>
      </c>
      <c r="G23" s="1" t="str">
        <f>CONCATENATE(Table1[[#This Row],[R]],",",Table1[[#This Row],[G]],",",Table1[[#This Row],[B]])</f>
        <v>89,89,89</v>
      </c>
      <c r="H23" s="1">
        <v>2</v>
      </c>
      <c r="I23" s="3" t="str">
        <f>CONCATENATE("#",Table1[[#This Row],[hex]])</f>
        <v>#595959</v>
      </c>
      <c r="J23" s="1">
        <v>22</v>
      </c>
      <c r="K23" s="1"/>
    </row>
    <row r="24" spans="1:11" ht="15.6" x14ac:dyDescent="0.25">
      <c r="A24" s="1">
        <v>182</v>
      </c>
      <c r="B24" s="1">
        <v>182</v>
      </c>
      <c r="C24" s="1">
        <v>182</v>
      </c>
      <c r="D24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B6B6B6</v>
      </c>
      <c r="E24" s="30"/>
      <c r="F24" s="3">
        <v>-25</v>
      </c>
      <c r="G24" s="1" t="str">
        <f>CONCATENATE(Table1[[#This Row],[R]],",",Table1[[#This Row],[G]],",",Table1[[#This Row],[B]])</f>
        <v>182,182,182</v>
      </c>
      <c r="H24" s="1">
        <v>3</v>
      </c>
      <c r="I24" s="3" t="str">
        <f>CONCATENATE("#",Table1[[#This Row],[hex]])</f>
        <v>#B6B6B6</v>
      </c>
      <c r="J24" s="1">
        <v>23</v>
      </c>
      <c r="K24" s="1"/>
    </row>
    <row r="25" spans="1:11" ht="15.6" x14ac:dyDescent="0.25">
      <c r="A25" s="1">
        <v>230</v>
      </c>
      <c r="B25" s="1">
        <v>230</v>
      </c>
      <c r="C25" s="1">
        <v>230</v>
      </c>
      <c r="D25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E6E6E6</v>
      </c>
      <c r="E25" s="31"/>
      <c r="F25" s="3">
        <v>60</v>
      </c>
      <c r="G25" s="1" t="str">
        <f>CONCATENATE(Table1[[#This Row],[R]],",",Table1[[#This Row],[G]],",",Table1[[#This Row],[B]])</f>
        <v>230,230,230</v>
      </c>
      <c r="H25" s="1">
        <v>4</v>
      </c>
      <c r="I25" s="3" t="str">
        <f>CONCATENATE("#",Table1[[#This Row],[hex]])</f>
        <v>#E6E6E6</v>
      </c>
      <c r="J25" s="1">
        <v>24</v>
      </c>
      <c r="K25" s="1"/>
    </row>
    <row r="26" spans="1:11" ht="15.6" x14ac:dyDescent="0.25">
      <c r="A26" s="1">
        <v>135</v>
      </c>
      <c r="B26" s="1">
        <v>197</v>
      </c>
      <c r="C26" s="1">
        <v>237</v>
      </c>
      <c r="D26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87C5ED</v>
      </c>
      <c r="E26" s="21"/>
      <c r="F26" s="3">
        <v>60</v>
      </c>
      <c r="G26" s="1" t="str">
        <f>CONCATENATE(Table1[[#This Row],[R]],",",Table1[[#This Row],[G]],",",Table1[[#This Row],[B]])</f>
        <v>135,197,237</v>
      </c>
      <c r="H26" s="1">
        <v>5</v>
      </c>
      <c r="I26" s="3" t="str">
        <f>CONCATENATE("#",Table1[[#This Row],[hex]])</f>
        <v>#87C5ED</v>
      </c>
      <c r="J26" s="1">
        <v>25</v>
      </c>
      <c r="K26" s="1"/>
    </row>
    <row r="27" spans="1:11" ht="15.6" x14ac:dyDescent="0.25">
      <c r="A27" s="3">
        <v>221</v>
      </c>
      <c r="B27" s="3">
        <v>244</v>
      </c>
      <c r="C27" s="3">
        <v>179</v>
      </c>
      <c r="D27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DDF4B3</v>
      </c>
      <c r="E27" s="33"/>
      <c r="F27" s="3">
        <v>60</v>
      </c>
      <c r="G27" s="1" t="str">
        <f>CONCATENATE(Table1[[#This Row],[R]],",",Table1[[#This Row],[G]],",",Table1[[#This Row],[B]])</f>
        <v>221,244,179</v>
      </c>
      <c r="H27" s="1">
        <v>6</v>
      </c>
      <c r="I27" s="3" t="str">
        <f>CONCATENATE("#",Table1[[#This Row],[hex]])</f>
        <v>#DDF4B3</v>
      </c>
      <c r="J27" s="1">
        <v>26</v>
      </c>
      <c r="K27" s="1"/>
    </row>
    <row r="28" spans="1:11" ht="15.6" x14ac:dyDescent="0.25">
      <c r="A28" s="1">
        <v>244</v>
      </c>
      <c r="B28" s="1">
        <v>166</v>
      </c>
      <c r="C28" s="1">
        <v>175</v>
      </c>
      <c r="D28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F4A6AF</v>
      </c>
      <c r="E28" s="34"/>
      <c r="F28" s="3">
        <v>60</v>
      </c>
      <c r="G28" s="1" t="str">
        <f>CONCATENATE(Table1[[#This Row],[R]],",",Table1[[#This Row],[G]],",",Table1[[#This Row],[B]])</f>
        <v>244,166,175</v>
      </c>
      <c r="H28" s="1">
        <v>7</v>
      </c>
      <c r="I28" s="3" t="str">
        <f>CONCATENATE("#",Table1[[#This Row],[hex]])</f>
        <v>#F4A6AF</v>
      </c>
      <c r="J28" s="1">
        <v>27</v>
      </c>
      <c r="K28" s="1"/>
    </row>
    <row r="29" spans="1:11" ht="15.6" x14ac:dyDescent="0.25">
      <c r="A29" s="1">
        <v>249</v>
      </c>
      <c r="B29" s="1">
        <v>249</v>
      </c>
      <c r="C29" s="1">
        <v>166</v>
      </c>
      <c r="D29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F9F9A6</v>
      </c>
      <c r="E29" s="35"/>
      <c r="F29" s="3">
        <v>60</v>
      </c>
      <c r="G29" s="1" t="str">
        <f>CONCATENATE(Table1[[#This Row],[R]],",",Table1[[#This Row],[G]],",",Table1[[#This Row],[B]])</f>
        <v>249,249,166</v>
      </c>
      <c r="H29" s="1">
        <v>8</v>
      </c>
      <c r="I29" s="3" t="str">
        <f>CONCATENATE("#",Table1[[#This Row],[hex]])</f>
        <v>#F9F9A6</v>
      </c>
      <c r="J29" s="1">
        <v>28</v>
      </c>
      <c r="K29" s="1"/>
    </row>
    <row r="30" spans="1:11" ht="15.6" x14ac:dyDescent="0.25">
      <c r="A30" s="1">
        <v>196</v>
      </c>
      <c r="B30" s="1">
        <v>232</v>
      </c>
      <c r="C30" s="1">
        <v>255</v>
      </c>
      <c r="D30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C4E8FF</v>
      </c>
      <c r="E30" s="36"/>
      <c r="F30" s="3">
        <v>60</v>
      </c>
      <c r="G30" s="1" t="str">
        <f>CONCATENATE(Table1[[#This Row],[R]],",",Table1[[#This Row],[G]],",",Table1[[#This Row],[B]])</f>
        <v>196,232,255</v>
      </c>
      <c r="H30" s="1">
        <v>9</v>
      </c>
      <c r="I30" s="3" t="str">
        <f>CONCATENATE("#",Table1[[#This Row],[hex]])</f>
        <v>#C4E8FF</v>
      </c>
      <c r="J30" s="1">
        <v>29</v>
      </c>
      <c r="K30" s="1"/>
    </row>
    <row r="31" spans="1:11" ht="15.6" x14ac:dyDescent="0.25">
      <c r="A31" s="1">
        <v>146</v>
      </c>
      <c r="B31" s="1">
        <v>200</v>
      </c>
      <c r="C31" s="1">
        <v>218</v>
      </c>
      <c r="D31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92C8DA</v>
      </c>
      <c r="E31" s="37"/>
      <c r="F31" s="3">
        <v>-25</v>
      </c>
      <c r="G31" s="1" t="str">
        <f>CONCATENATE(Table1[[#This Row],[R]],",",Table1[[#This Row],[G]],",",Table1[[#This Row],[B]])</f>
        <v>146,200,218</v>
      </c>
      <c r="H31" s="1">
        <v>10</v>
      </c>
      <c r="I31" s="3" t="str">
        <f>CONCATENATE("#",Table1[[#This Row],[hex]])</f>
        <v>#92C8DA</v>
      </c>
      <c r="J31" s="1">
        <v>30</v>
      </c>
      <c r="K31" s="1"/>
    </row>
    <row r="32" spans="1:11" ht="15.6" x14ac:dyDescent="0.25">
      <c r="A32" s="1">
        <v>191</v>
      </c>
      <c r="B32" s="1">
        <v>191</v>
      </c>
      <c r="C32" s="1">
        <v>191</v>
      </c>
      <c r="D32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BFBFBF</v>
      </c>
      <c r="E32" s="8"/>
      <c r="F32" s="3">
        <v>-25</v>
      </c>
      <c r="G32" s="1" t="str">
        <f>CONCATENATE(Table1[[#This Row],[R]],",",Table1[[#This Row],[G]],",",Table1[[#This Row],[B]])</f>
        <v>191,191,191</v>
      </c>
      <c r="H32" s="1">
        <v>1</v>
      </c>
      <c r="I32" s="3" t="str">
        <f>CONCATENATE("#",Table1[[#This Row],[hex]])</f>
        <v>#BFBFBF</v>
      </c>
      <c r="J32" s="1">
        <v>31</v>
      </c>
      <c r="K32" s="1"/>
    </row>
    <row r="33" spans="1:11" ht="15.6" x14ac:dyDescent="0.25">
      <c r="A33" s="1">
        <v>64</v>
      </c>
      <c r="B33" s="1">
        <v>64</v>
      </c>
      <c r="C33" s="1">
        <v>64</v>
      </c>
      <c r="D33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404040</v>
      </c>
      <c r="E33" s="38"/>
      <c r="F33" s="3">
        <v>25</v>
      </c>
      <c r="G33" s="1" t="str">
        <f>CONCATENATE(Table1[[#This Row],[R]],",",Table1[[#This Row],[G]],",",Table1[[#This Row],[B]])</f>
        <v>64,64,64</v>
      </c>
      <c r="H33" s="1">
        <v>2</v>
      </c>
      <c r="I33" s="3" t="str">
        <f>CONCATENATE("#",Table1[[#This Row],[hex]])</f>
        <v>#404040</v>
      </c>
      <c r="J33" s="1">
        <v>32</v>
      </c>
      <c r="K33" s="1"/>
    </row>
    <row r="34" spans="1:11" ht="15.6" x14ac:dyDescent="0.25">
      <c r="A34" s="1">
        <v>121</v>
      </c>
      <c r="B34" s="1">
        <v>121</v>
      </c>
      <c r="C34" s="1">
        <v>121</v>
      </c>
      <c r="D34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797979</v>
      </c>
      <c r="E34" s="39"/>
      <c r="F34" s="3">
        <v>-50</v>
      </c>
      <c r="G34" s="1" t="str">
        <f>CONCATENATE(Table1[[#This Row],[R]],",",Table1[[#This Row],[G]],",",Table1[[#This Row],[B]])</f>
        <v>121,121,121</v>
      </c>
      <c r="H34" s="1">
        <v>3</v>
      </c>
      <c r="I34" s="3" t="str">
        <f>CONCATENATE("#",Table1[[#This Row],[hex]])</f>
        <v>#797979</v>
      </c>
      <c r="J34" s="1">
        <v>33</v>
      </c>
      <c r="K34" s="1"/>
    </row>
    <row r="35" spans="1:11" ht="15.6" x14ac:dyDescent="0.25">
      <c r="A35" s="1">
        <v>217</v>
      </c>
      <c r="B35" s="1">
        <v>217</v>
      </c>
      <c r="C35" s="1">
        <v>217</v>
      </c>
      <c r="D35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D9D9D9</v>
      </c>
      <c r="E35" s="28"/>
      <c r="F35" s="3">
        <v>40</v>
      </c>
      <c r="G35" s="1" t="str">
        <f>CONCATENATE(Table1[[#This Row],[R]],",",Table1[[#This Row],[G]],",",Table1[[#This Row],[B]])</f>
        <v>217,217,217</v>
      </c>
      <c r="H35" s="1">
        <v>4</v>
      </c>
      <c r="I35" s="3" t="str">
        <f>CONCATENATE("#",Table1[[#This Row],[hex]])</f>
        <v>#D9D9D9</v>
      </c>
      <c r="J35" s="1">
        <v>34</v>
      </c>
      <c r="K35" s="1"/>
    </row>
    <row r="36" spans="1:11" ht="15.6" x14ac:dyDescent="0.25">
      <c r="A36" s="1">
        <v>73</v>
      </c>
      <c r="B36" s="1">
        <v>167</v>
      </c>
      <c r="C36" s="1">
        <v>228</v>
      </c>
      <c r="D36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49A7E4</v>
      </c>
      <c r="E36" s="40"/>
      <c r="F36" s="3">
        <v>40</v>
      </c>
      <c r="G36" s="1" t="str">
        <f>CONCATENATE(Table1[[#This Row],[R]],",",Table1[[#This Row],[G]],",",Table1[[#This Row],[B]])</f>
        <v>73,167,228</v>
      </c>
      <c r="H36" s="1">
        <v>5</v>
      </c>
      <c r="I36" s="3" t="str">
        <f>CONCATENATE("#",Table1[[#This Row],[hex]])</f>
        <v>#49A7E4</v>
      </c>
      <c r="J36" s="1">
        <v>35</v>
      </c>
      <c r="K36" s="1"/>
    </row>
    <row r="37" spans="1:11" ht="15.6" x14ac:dyDescent="0.25">
      <c r="A37" s="1">
        <v>204</v>
      </c>
      <c r="B37" s="1">
        <v>238</v>
      </c>
      <c r="C37" s="1">
        <v>140</v>
      </c>
      <c r="D37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CCEE8C</v>
      </c>
      <c r="E37" s="41"/>
      <c r="F37" s="3">
        <v>40</v>
      </c>
      <c r="G37" s="1" t="str">
        <f>CONCATENATE(Table1[[#This Row],[R]],",",Table1[[#This Row],[G]],",",Table1[[#This Row],[B]])</f>
        <v>204,238,140</v>
      </c>
      <c r="H37" s="1">
        <v>6</v>
      </c>
      <c r="I37" s="3" t="str">
        <f>CONCATENATE("#",Table1[[#This Row],[hex]])</f>
        <v>#CCEE8C</v>
      </c>
      <c r="J37" s="1">
        <v>36</v>
      </c>
      <c r="K37" s="1"/>
    </row>
    <row r="38" spans="1:11" ht="15.6" x14ac:dyDescent="0.25">
      <c r="A38" s="1">
        <v>239</v>
      </c>
      <c r="B38" s="1">
        <v>122</v>
      </c>
      <c r="C38" s="1">
        <v>137</v>
      </c>
      <c r="D38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EF7A89</v>
      </c>
      <c r="E38" s="42"/>
      <c r="F38" s="3">
        <v>40</v>
      </c>
      <c r="G38" s="1" t="str">
        <f>CONCATENATE(Table1[[#This Row],[R]],",",Table1[[#This Row],[G]],",",Table1[[#This Row],[B]])</f>
        <v>239,122,137</v>
      </c>
      <c r="H38" s="1">
        <v>7</v>
      </c>
      <c r="I38" s="3" t="str">
        <f>CONCATENATE("#",Table1[[#This Row],[hex]])</f>
        <v>#EF7A89</v>
      </c>
      <c r="J38" s="1">
        <v>37</v>
      </c>
      <c r="K38" s="1"/>
    </row>
    <row r="39" spans="1:11" ht="15.6" x14ac:dyDescent="0.25">
      <c r="A39" s="1">
        <v>244</v>
      </c>
      <c r="B39" s="1">
        <v>244</v>
      </c>
      <c r="C39" s="1">
        <v>121</v>
      </c>
      <c r="D39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F4F479</v>
      </c>
      <c r="E39" s="43"/>
      <c r="F39" s="3">
        <v>40</v>
      </c>
      <c r="G39" s="1" t="str">
        <f>CONCATENATE(Table1[[#This Row],[R]],",",Table1[[#This Row],[G]],",",Table1[[#This Row],[B]])</f>
        <v>244,244,121</v>
      </c>
      <c r="H39" s="1">
        <v>8</v>
      </c>
      <c r="I39" s="3" t="str">
        <f>CONCATENATE("#",Table1[[#This Row],[hex]])</f>
        <v>#F4F479</v>
      </c>
      <c r="J39" s="1">
        <v>38</v>
      </c>
      <c r="K39" s="1"/>
    </row>
    <row r="40" spans="1:11" ht="15.6" x14ac:dyDescent="0.25">
      <c r="A40" s="1">
        <v>166</v>
      </c>
      <c r="B40" s="1">
        <v>219</v>
      </c>
      <c r="C40" s="1">
        <v>255</v>
      </c>
      <c r="D40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A6DBFF</v>
      </c>
      <c r="E40" s="44"/>
      <c r="F40" s="3">
        <v>40</v>
      </c>
      <c r="G40" s="1" t="str">
        <f>CONCATENATE(Table1[[#This Row],[R]],",",Table1[[#This Row],[G]],",",Table1[[#This Row],[B]])</f>
        <v>166,219,255</v>
      </c>
      <c r="H40" s="1">
        <v>9</v>
      </c>
      <c r="I40" s="3" t="str">
        <f>CONCATENATE("#",Table1[[#This Row],[hex]])</f>
        <v>#A6DBFF</v>
      </c>
      <c r="J40" s="1">
        <v>39</v>
      </c>
      <c r="K40" s="1"/>
    </row>
    <row r="41" spans="1:11" ht="15.6" x14ac:dyDescent="0.25">
      <c r="A41" s="45">
        <v>61</v>
      </c>
      <c r="B41" s="1">
        <v>152</v>
      </c>
      <c r="C41" s="1">
        <v>182</v>
      </c>
      <c r="D41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3D98B6</v>
      </c>
      <c r="E41" s="46"/>
      <c r="F41" s="3">
        <v>-50</v>
      </c>
      <c r="G41" s="1" t="str">
        <f>CONCATENATE(Table1[[#This Row],[R]],",",Table1[[#This Row],[G]],",",Table1[[#This Row],[B]])</f>
        <v>61,152,182</v>
      </c>
      <c r="H41" s="1">
        <v>10</v>
      </c>
      <c r="I41" s="3" t="str">
        <f>CONCATENATE("#",Table1[[#This Row],[hex]])</f>
        <v>#3D98B6</v>
      </c>
      <c r="J41" s="1">
        <v>40</v>
      </c>
      <c r="K41" s="1"/>
    </row>
    <row r="42" spans="1:11" ht="15.6" x14ac:dyDescent="0.25">
      <c r="A42" s="1">
        <v>166</v>
      </c>
      <c r="B42" s="1">
        <v>166</v>
      </c>
      <c r="C42" s="1">
        <v>166</v>
      </c>
      <c r="D42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A6A6A6</v>
      </c>
      <c r="E42" s="47"/>
      <c r="F42" s="3">
        <v>-35</v>
      </c>
      <c r="G42" s="1" t="str">
        <f>CONCATENATE(Table1[[#This Row],[R]],",",Table1[[#This Row],[G]],",",Table1[[#This Row],[B]])</f>
        <v>166,166,166</v>
      </c>
      <c r="H42" s="1">
        <v>1</v>
      </c>
      <c r="I42" s="3" t="str">
        <f>CONCATENATE("#",Table1[[#This Row],[hex]])</f>
        <v>#A6A6A6</v>
      </c>
      <c r="J42" s="1">
        <v>41</v>
      </c>
      <c r="K42" s="1"/>
    </row>
    <row r="43" spans="1:11" ht="15.6" x14ac:dyDescent="0.25">
      <c r="A43" s="1">
        <v>38</v>
      </c>
      <c r="B43" s="1">
        <v>38</v>
      </c>
      <c r="C43" s="1">
        <v>38</v>
      </c>
      <c r="D43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262626</v>
      </c>
      <c r="E43" s="48"/>
      <c r="F43" s="3">
        <v>15</v>
      </c>
      <c r="G43" s="1" t="str">
        <f>CONCATENATE(Table1[[#This Row],[R]],",",Table1[[#This Row],[G]],",",Table1[[#This Row],[B]])</f>
        <v>38,38,38</v>
      </c>
      <c r="H43" s="1">
        <v>2</v>
      </c>
      <c r="I43" s="3" t="str">
        <f>CONCATENATE("#",Table1[[#This Row],[hex]])</f>
        <v>#262626</v>
      </c>
      <c r="J43" s="1">
        <v>42</v>
      </c>
      <c r="K43" s="1"/>
    </row>
    <row r="44" spans="1:11" ht="15.6" x14ac:dyDescent="0.25">
      <c r="A44" s="1">
        <v>61</v>
      </c>
      <c r="B44" s="1">
        <v>61</v>
      </c>
      <c r="C44" s="1">
        <v>61</v>
      </c>
      <c r="D44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3D3D3D</v>
      </c>
      <c r="E44" s="49"/>
      <c r="F44" s="3">
        <v>-75</v>
      </c>
      <c r="G44" s="1" t="str">
        <f>CONCATENATE(Table1[[#This Row],[R]],",",Table1[[#This Row],[G]],",",Table1[[#This Row],[B]])</f>
        <v>61,61,61</v>
      </c>
      <c r="H44" s="1">
        <v>3</v>
      </c>
      <c r="I44" s="3" t="str">
        <f>CONCATENATE("#",Table1[[#This Row],[hex]])</f>
        <v>#3D3D3D</v>
      </c>
      <c r="J44" s="1">
        <v>43</v>
      </c>
      <c r="K44" s="1"/>
    </row>
    <row r="45" spans="1:11" ht="15.6" x14ac:dyDescent="0.25">
      <c r="A45" s="1">
        <v>143</v>
      </c>
      <c r="B45" s="1">
        <v>143</v>
      </c>
      <c r="C45" s="1">
        <v>143</v>
      </c>
      <c r="D45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8F8F8F</v>
      </c>
      <c r="E45" s="50"/>
      <c r="F45" s="3">
        <v>-25</v>
      </c>
      <c r="G45" s="1" t="str">
        <f>CONCATENATE(Table1[[#This Row],[R]],",",Table1[[#This Row],[G]],",",Table1[[#This Row],[B]])</f>
        <v>143,143,143</v>
      </c>
      <c r="H45" s="1">
        <v>4</v>
      </c>
      <c r="I45" s="3" t="str">
        <f>CONCATENATE("#",Table1[[#This Row],[hex]])</f>
        <v>#8F8F8F</v>
      </c>
      <c r="J45" s="1">
        <v>44</v>
      </c>
      <c r="K45" s="1"/>
    </row>
    <row r="46" spans="1:11" ht="15.6" x14ac:dyDescent="0.25">
      <c r="A46" s="1">
        <v>16</v>
      </c>
      <c r="B46" s="1">
        <v>71</v>
      </c>
      <c r="C46" s="1">
        <v>107</v>
      </c>
      <c r="D46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10476B</v>
      </c>
      <c r="E46" s="51"/>
      <c r="F46" s="3">
        <v>-25</v>
      </c>
      <c r="G46" s="1" t="str">
        <f>CONCATENATE(Table1[[#This Row],[R]],",",Table1[[#This Row],[G]],",",Table1[[#This Row],[B]])</f>
        <v>16,71,107</v>
      </c>
      <c r="H46" s="1">
        <v>5</v>
      </c>
      <c r="I46" s="3" t="str">
        <f>CONCATENATE("#",Table1[[#This Row],[hex]])</f>
        <v>#10476B</v>
      </c>
      <c r="J46" s="1">
        <v>45</v>
      </c>
      <c r="K46" s="1"/>
    </row>
    <row r="47" spans="1:11" ht="15.6" x14ac:dyDescent="0.25">
      <c r="A47" s="1">
        <v>134</v>
      </c>
      <c r="B47" s="1">
        <v>191</v>
      </c>
      <c r="C47" s="1">
        <v>28</v>
      </c>
      <c r="D47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86BF1C</v>
      </c>
      <c r="E47" s="52"/>
      <c r="F47" s="3">
        <v>-25</v>
      </c>
      <c r="G47" s="1" t="str">
        <f>CONCATENATE(Table1[[#This Row],[R]],",",Table1[[#This Row],[G]],",",Table1[[#This Row],[B]])</f>
        <v>134,191,28</v>
      </c>
      <c r="H47" s="1">
        <v>6</v>
      </c>
      <c r="I47" s="3" t="str">
        <f>CONCATENATE("#",Table1[[#This Row],[hex]])</f>
        <v>#86BF1C</v>
      </c>
      <c r="J47" s="1">
        <v>46</v>
      </c>
      <c r="K47" s="1"/>
    </row>
    <row r="48" spans="1:11" ht="15.6" x14ac:dyDescent="0.25">
      <c r="A48" s="1">
        <v>176</v>
      </c>
      <c r="B48" s="1">
        <v>21</v>
      </c>
      <c r="C48" s="1">
        <v>40</v>
      </c>
      <c r="D48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B01528</v>
      </c>
      <c r="E48" s="53"/>
      <c r="F48" s="3">
        <v>-25</v>
      </c>
      <c r="G48" s="1" t="str">
        <f>CONCATENATE(Table1[[#This Row],[R]],",",Table1[[#This Row],[G]],",",Table1[[#This Row],[B]])</f>
        <v>176,21,40</v>
      </c>
      <c r="H48" s="1">
        <v>7</v>
      </c>
      <c r="I48" s="3" t="str">
        <f>CONCATENATE("#",Table1[[#This Row],[hex]])</f>
        <v>#B01528</v>
      </c>
      <c r="J48" s="1">
        <v>47</v>
      </c>
      <c r="K48" s="1"/>
    </row>
    <row r="49" spans="1:11" ht="15.6" x14ac:dyDescent="0.25">
      <c r="A49" s="1">
        <v>189</v>
      </c>
      <c r="B49" s="1">
        <v>189</v>
      </c>
      <c r="C49" s="1">
        <v>15</v>
      </c>
      <c r="D49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BDBD0F</v>
      </c>
      <c r="E49" s="54"/>
      <c r="F49" s="3">
        <v>-25</v>
      </c>
      <c r="G49" s="1" t="str">
        <f>CONCATENATE(Table1[[#This Row],[R]],",",Table1[[#This Row],[G]],",",Table1[[#This Row],[B]])</f>
        <v>189,189,15</v>
      </c>
      <c r="H49" s="1">
        <v>8</v>
      </c>
      <c r="I49" s="3" t="str">
        <f>CONCATENATE("#",Table1[[#This Row],[hex]])</f>
        <v>#BDBD0F</v>
      </c>
      <c r="J49" s="1">
        <v>48</v>
      </c>
      <c r="K49" s="1"/>
    </row>
    <row r="50" spans="1:11" ht="15.6" x14ac:dyDescent="0.25">
      <c r="A50" s="1">
        <v>15</v>
      </c>
      <c r="B50" s="1">
        <v>159</v>
      </c>
      <c r="C50" s="1">
        <v>255</v>
      </c>
      <c r="D50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0F9FFF</v>
      </c>
      <c r="E50" s="55"/>
      <c r="F50" s="3">
        <v>-25</v>
      </c>
      <c r="G50" s="1" t="str">
        <f>CONCATENATE(Table1[[#This Row],[R]],",",Table1[[#This Row],[G]],",",Table1[[#This Row],[B]])</f>
        <v>15,159,255</v>
      </c>
      <c r="H50" s="1">
        <v>9</v>
      </c>
      <c r="I50" s="3" t="str">
        <f>CONCATENATE("#",Table1[[#This Row],[hex]])</f>
        <v>#0F9FFF</v>
      </c>
      <c r="J50" s="1">
        <v>49</v>
      </c>
      <c r="K50" s="1"/>
    </row>
    <row r="51" spans="1:11" ht="15.6" x14ac:dyDescent="0.25">
      <c r="A51" s="1">
        <v>30</v>
      </c>
      <c r="B51" s="1">
        <v>77</v>
      </c>
      <c r="C51" s="1">
        <v>91</v>
      </c>
      <c r="D51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1E4D5B</v>
      </c>
      <c r="E51" s="56"/>
      <c r="F51" s="3">
        <v>-75</v>
      </c>
      <c r="G51" s="1" t="str">
        <f>CONCATENATE(Table1[[#This Row],[R]],",",Table1[[#This Row],[G]],",",Table1[[#This Row],[B]])</f>
        <v>30,77,91</v>
      </c>
      <c r="H51" s="1">
        <v>10</v>
      </c>
      <c r="I51" s="3" t="str">
        <f>CONCATENATE("#",Table1[[#This Row],[hex]])</f>
        <v>#1E4D5B</v>
      </c>
      <c r="J51" s="1">
        <v>50</v>
      </c>
      <c r="K51" s="1"/>
    </row>
    <row r="52" spans="1:11" ht="15.6" x14ac:dyDescent="0.25">
      <c r="A52" s="1">
        <v>128</v>
      </c>
      <c r="B52" s="1">
        <v>128</v>
      </c>
      <c r="C52" s="1">
        <v>128</v>
      </c>
      <c r="D52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808080</v>
      </c>
      <c r="E52" s="26"/>
      <c r="F52" s="3">
        <v>-50</v>
      </c>
      <c r="G52" s="1" t="str">
        <f>CONCATENATE(Table1[[#This Row],[R]],",",Table1[[#This Row],[G]],",",Table1[[#This Row],[B]])</f>
        <v>128,128,128</v>
      </c>
      <c r="H52" s="1">
        <v>1</v>
      </c>
      <c r="I52" s="3" t="str">
        <f>CONCATENATE("#",Table1[[#This Row],[hex]])</f>
        <v>#808080</v>
      </c>
      <c r="J52" s="1">
        <v>51</v>
      </c>
      <c r="K52" s="1"/>
    </row>
    <row r="53" spans="1:11" ht="15.6" x14ac:dyDescent="0.25">
      <c r="A53" s="1">
        <v>13</v>
      </c>
      <c r="B53" s="1">
        <v>13</v>
      </c>
      <c r="C53" s="1">
        <v>13</v>
      </c>
      <c r="D53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0D0D0D</v>
      </c>
      <c r="E53" s="57"/>
      <c r="F53" s="3">
        <v>5</v>
      </c>
      <c r="G53" s="1" t="str">
        <f>CONCATENATE(Table1[[#This Row],[R]],",",Table1[[#This Row],[G]],",",Table1[[#This Row],[B]])</f>
        <v>13,13,13</v>
      </c>
      <c r="H53" s="1">
        <v>2</v>
      </c>
      <c r="I53" s="3" t="str">
        <f>CONCATENATE("#",Table1[[#This Row],[hex]])</f>
        <v>#0D0D0D</v>
      </c>
      <c r="J53" s="1">
        <v>52</v>
      </c>
      <c r="K53" s="1"/>
    </row>
    <row r="54" spans="1:11" ht="15.6" x14ac:dyDescent="0.25">
      <c r="A54" s="1">
        <v>23</v>
      </c>
      <c r="B54" s="1">
        <v>23</v>
      </c>
      <c r="C54" s="1">
        <v>23</v>
      </c>
      <c r="D54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171717</v>
      </c>
      <c r="E54" s="58"/>
      <c r="F54" s="3">
        <v>-90</v>
      </c>
      <c r="G54" s="1" t="str">
        <f>CONCATENATE(Table1[[#This Row],[R]],",",Table1[[#This Row],[G]],",",Table1[[#This Row],[B]])</f>
        <v>23,23,23</v>
      </c>
      <c r="H54" s="1">
        <v>3</v>
      </c>
      <c r="I54" s="3" t="str">
        <f>CONCATENATE("#",Table1[[#This Row],[hex]])</f>
        <v>#171717</v>
      </c>
      <c r="J54" s="1">
        <v>53</v>
      </c>
      <c r="K54" s="1"/>
    </row>
    <row r="55" spans="1:11" ht="15.6" x14ac:dyDescent="0.25">
      <c r="A55" s="1">
        <v>96</v>
      </c>
      <c r="B55" s="1">
        <v>96</v>
      </c>
      <c r="C55" s="1">
        <v>96</v>
      </c>
      <c r="D55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606060</v>
      </c>
      <c r="E55" s="59"/>
      <c r="F55" s="3">
        <v>-50</v>
      </c>
      <c r="G55" s="1" t="str">
        <f>CONCATENATE(Table1[[#This Row],[R]],",",Table1[[#This Row],[G]],",",Table1[[#This Row],[B]])</f>
        <v>96,96,96</v>
      </c>
      <c r="H55" s="1">
        <v>4</v>
      </c>
      <c r="I55" s="3" t="str">
        <f>CONCATENATE("#",Table1[[#This Row],[hex]])</f>
        <v>#606060</v>
      </c>
      <c r="J55" s="1">
        <v>54</v>
      </c>
      <c r="K55" s="1"/>
    </row>
    <row r="56" spans="1:11" ht="15.6" x14ac:dyDescent="0.25">
      <c r="A56" s="1">
        <v>11</v>
      </c>
      <c r="B56" s="1">
        <v>48</v>
      </c>
      <c r="C56" s="1">
        <v>72</v>
      </c>
      <c r="D56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0B3048</v>
      </c>
      <c r="E56" s="60"/>
      <c r="F56" s="3">
        <v>-50</v>
      </c>
      <c r="G56" s="1" t="str">
        <f>CONCATENATE(Table1[[#This Row],[R]],",",Table1[[#This Row],[G]],",",Table1[[#This Row],[B]])</f>
        <v>11,48,72</v>
      </c>
      <c r="H56" s="1">
        <v>5</v>
      </c>
      <c r="I56" s="3" t="str">
        <f>CONCATENATE("#",Table1[[#This Row],[hex]])</f>
        <v>#0B3048</v>
      </c>
      <c r="J56" s="1">
        <v>55</v>
      </c>
      <c r="K56" s="1"/>
    </row>
    <row r="57" spans="1:11" ht="15.6" x14ac:dyDescent="0.25">
      <c r="A57" s="1">
        <v>90</v>
      </c>
      <c r="B57" s="1">
        <v>129</v>
      </c>
      <c r="C57" s="1">
        <v>18</v>
      </c>
      <c r="D57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5A8112</v>
      </c>
      <c r="E57" s="61"/>
      <c r="F57" s="3">
        <v>-50</v>
      </c>
      <c r="G57" s="1" t="str">
        <f>CONCATENATE(Table1[[#This Row],[R]],",",Table1[[#This Row],[G]],",",Table1[[#This Row],[B]])</f>
        <v>90,129,18</v>
      </c>
      <c r="H57" s="1">
        <v>6</v>
      </c>
      <c r="I57" s="3" t="str">
        <f>CONCATENATE("#",Table1[[#This Row],[hex]])</f>
        <v>#5A8112</v>
      </c>
      <c r="J57" s="1">
        <v>56</v>
      </c>
      <c r="K57" s="1"/>
    </row>
    <row r="58" spans="1:11" ht="15.6" x14ac:dyDescent="0.25">
      <c r="A58" s="1">
        <v>118</v>
      </c>
      <c r="B58" s="1">
        <v>14</v>
      </c>
      <c r="C58" s="1">
        <v>27</v>
      </c>
      <c r="D58" s="63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760E1B</v>
      </c>
      <c r="E58" s="62"/>
      <c r="F58" s="3">
        <v>-50</v>
      </c>
      <c r="G58" s="1" t="str">
        <f>CONCATENATE(Table1[[#This Row],[R]],",",Table1[[#This Row],[G]],",",Table1[[#This Row],[B]])</f>
        <v>118,14,27</v>
      </c>
      <c r="H58" s="1">
        <v>7</v>
      </c>
      <c r="I58" s="3" t="str">
        <f>CONCATENATE("#",Table1[[#This Row],[hex]])</f>
        <v>#760E1B</v>
      </c>
      <c r="J58" s="1">
        <v>57</v>
      </c>
      <c r="K58" s="1"/>
    </row>
    <row r="59" spans="1:11" ht="15.6" x14ac:dyDescent="0.25">
      <c r="A59" s="1">
        <v>126</v>
      </c>
      <c r="B59" s="1">
        <v>126</v>
      </c>
      <c r="C59" s="1">
        <v>10</v>
      </c>
      <c r="D59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7E7E0A</v>
      </c>
      <c r="E59" s="64"/>
      <c r="F59" s="3">
        <v>-50</v>
      </c>
      <c r="G59" s="1" t="str">
        <f>CONCATENATE(Table1[[#This Row],[R]],",",Table1[[#This Row],[G]],",",Table1[[#This Row],[B]])</f>
        <v>126,126,10</v>
      </c>
      <c r="H59" s="1">
        <v>8</v>
      </c>
      <c r="I59" s="3" t="str">
        <f>CONCATENATE("#",Table1[[#This Row],[hex]])</f>
        <v>#7E7E0A</v>
      </c>
      <c r="J59" s="1">
        <v>58</v>
      </c>
      <c r="K59" s="1"/>
    </row>
    <row r="60" spans="1:11" ht="15.6" x14ac:dyDescent="0.25">
      <c r="A60" s="1">
        <v>0</v>
      </c>
      <c r="B60" s="1">
        <v>108</v>
      </c>
      <c r="C60" s="1">
        <v>181</v>
      </c>
      <c r="D60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006CB5</v>
      </c>
      <c r="E60" s="65"/>
      <c r="F60" s="3">
        <v>-50</v>
      </c>
      <c r="G60" s="1" t="str">
        <f>CONCATENATE(Table1[[#This Row],[R]],",",Table1[[#This Row],[G]],",",Table1[[#This Row],[B]])</f>
        <v>0,108,181</v>
      </c>
      <c r="H60" s="1">
        <v>9</v>
      </c>
      <c r="I60" s="3" t="str">
        <f>CONCATENATE("#",Table1[[#This Row],[hex]])</f>
        <v>#006CB5</v>
      </c>
      <c r="J60" s="1">
        <v>59</v>
      </c>
      <c r="K60" s="1"/>
    </row>
    <row r="61" spans="1:11" ht="15.6" x14ac:dyDescent="0.25">
      <c r="A61" s="1">
        <v>12</v>
      </c>
      <c r="B61" s="1">
        <v>30</v>
      </c>
      <c r="C61" s="1">
        <v>35</v>
      </c>
      <c r="D61" s="4" t="str">
        <f>IF(ISODD(LEN(DEC2HEX(Table1[[#This Row],[R]]))),"0","")&amp;DEC2HEX(Table1[[#This Row],[R]])&amp;IF(ISODD(LEN(DEC2HEX(Table1[[#This Row],[G]]))),"0","")&amp;DEC2HEX(Table1[[#This Row],[G]])&amp;IF(ISODD(LEN(DEC2HEX(Table1[[#This Row],[B]]))),"0","")&amp;DEC2HEX(Table1[[#This Row],[B]])</f>
        <v>0C1E23</v>
      </c>
      <c r="E61" s="66"/>
      <c r="F61" s="3">
        <v>-90</v>
      </c>
      <c r="G61" s="1" t="str">
        <f>CONCATENATE(Table1[[#This Row],[R]],",",Table1[[#This Row],[G]],",",Table1[[#This Row],[B]])</f>
        <v>12,30,35</v>
      </c>
      <c r="H61" s="1">
        <v>10</v>
      </c>
      <c r="I61" s="3" t="str">
        <f>CONCATENATE("#",Table1[[#This Row],[hex]])</f>
        <v>#0C1E23</v>
      </c>
      <c r="J61" s="1">
        <v>60</v>
      </c>
      <c r="K61" s="1"/>
    </row>
  </sheetData>
  <pageMargins left="0.7" right="0.7" top="0.75" bottom="0.75" header="0.3" footer="0.3"/>
  <pageSetup paperSize="9" orientation="portrait" horizontalDpi="200" verticalDpi="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Farbspektrum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Thees Oscar</dc:creator>
  <cp:lastModifiedBy>Thees Oscar</cp:lastModifiedBy>
  <cp:lastPrinted>2019-08-22T15:33:15Z</cp:lastPrinted>
  <dcterms:created xsi:type="dcterms:W3CDTF">2017-01-27T10:03:10Z</dcterms:created>
  <dcterms:modified xsi:type="dcterms:W3CDTF">2021-03-01T12:35:31Z</dcterms:modified>
</cp:coreProperties>
</file>